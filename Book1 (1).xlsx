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dwwait\"/>
    </mc:Choice>
  </mc:AlternateContent>
  <bookViews>
    <workbookView xWindow="0" yWindow="0" windowWidth="21570" windowHeight="7995"/>
  </bookViews>
  <sheets>
    <sheet name="Sheet1" sheetId="1" r:id="rId1"/>
    <sheet name="Sheet2" sheetId="2" r:id="rId2"/>
  </sheets>
  <definedNames>
    <definedName name="_xlnm._FilterDatabase" localSheetId="0" hidden="1">Sheet1!$A$2:$M$18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" i="2"/>
  <c r="K3" i="1" l="1"/>
  <c r="K4" i="1"/>
  <c r="K5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6" i="1"/>
  <c r="I6" i="1"/>
  <c r="J6" i="1"/>
  <c r="O6" i="1" s="1"/>
  <c r="L6" i="1" l="1"/>
  <c r="K2" i="1"/>
  <c r="J4" i="1"/>
  <c r="O4" i="1" s="1"/>
  <c r="J3" i="1"/>
  <c r="O3" i="1" s="1"/>
  <c r="J9" i="1"/>
  <c r="O9" i="1" s="1"/>
  <c r="J14" i="1"/>
  <c r="O14" i="1" s="1"/>
  <c r="J16" i="1"/>
  <c r="O16" i="1" s="1"/>
  <c r="J5" i="1"/>
  <c r="O5" i="1" s="1"/>
  <c r="J15" i="1"/>
  <c r="O15" i="1" s="1"/>
  <c r="J18" i="1"/>
  <c r="O18" i="1" s="1"/>
  <c r="J10" i="1"/>
  <c r="O10" i="1" s="1"/>
  <c r="J17" i="1"/>
  <c r="O17" i="1" s="1"/>
  <c r="J7" i="1"/>
  <c r="O7" i="1" s="1"/>
  <c r="J19" i="1"/>
  <c r="O19" i="1" s="1"/>
  <c r="J11" i="1"/>
  <c r="O11" i="1" s="1"/>
  <c r="J12" i="1"/>
  <c r="O12" i="1" s="1"/>
  <c r="J13" i="1"/>
  <c r="O13" i="1" s="1"/>
  <c r="J8" i="1"/>
  <c r="O8" i="1" s="1"/>
  <c r="J2" i="1"/>
  <c r="I4" i="1"/>
  <c r="I3" i="1"/>
  <c r="I9" i="1"/>
  <c r="I14" i="1"/>
  <c r="I16" i="1"/>
  <c r="I5" i="1"/>
  <c r="I15" i="1"/>
  <c r="I18" i="1"/>
  <c r="I10" i="1"/>
  <c r="I17" i="1"/>
  <c r="I7" i="1"/>
  <c r="I19" i="1"/>
  <c r="I11" i="1"/>
  <c r="I12" i="1"/>
  <c r="I13" i="1"/>
  <c r="I8" i="1"/>
  <c r="I2" i="1"/>
  <c r="O2" i="1" l="1"/>
  <c r="L4" i="1"/>
  <c r="L2" i="1"/>
  <c r="L20" i="1"/>
  <c r="L18" i="1"/>
  <c r="L15" i="1"/>
  <c r="L12" i="1"/>
  <c r="L5" i="1"/>
  <c r="L11" i="1"/>
  <c r="L16" i="1"/>
  <c r="L8" i="1"/>
  <c r="L13" i="1"/>
  <c r="L19" i="1"/>
  <c r="L14" i="1"/>
  <c r="L7" i="1"/>
  <c r="L9" i="1"/>
  <c r="L17" i="1"/>
  <c r="L3" i="1"/>
  <c r="L10" i="1"/>
</calcChain>
</file>

<file path=xl/sharedStrings.xml><?xml version="1.0" encoding="utf-8"?>
<sst xmlns="http://schemas.openxmlformats.org/spreadsheetml/2006/main" count="56" uniqueCount="41">
  <si>
    <t>Roll no</t>
  </si>
  <si>
    <t xml:space="preserve">Name </t>
  </si>
  <si>
    <t>Adwait</t>
  </si>
  <si>
    <t>Om</t>
  </si>
  <si>
    <t>Shreyash</t>
  </si>
  <si>
    <t>Kanhaiya</t>
  </si>
  <si>
    <t>Pranjal</t>
  </si>
  <si>
    <t>Harshad</t>
  </si>
  <si>
    <t>Aaditya</t>
  </si>
  <si>
    <t>Jumbo</t>
  </si>
  <si>
    <t>Shivam</t>
  </si>
  <si>
    <t>Arpan</t>
  </si>
  <si>
    <t>Aryan</t>
  </si>
  <si>
    <t>Karan</t>
  </si>
  <si>
    <t>Rahul</t>
  </si>
  <si>
    <t>Raj</t>
  </si>
  <si>
    <t>Yash</t>
  </si>
  <si>
    <t>Salman</t>
  </si>
  <si>
    <t>Mangaya</t>
  </si>
  <si>
    <t>Maths</t>
  </si>
  <si>
    <t>Science</t>
  </si>
  <si>
    <t>History</t>
  </si>
  <si>
    <t xml:space="preserve">English </t>
  </si>
  <si>
    <t>Computer</t>
  </si>
  <si>
    <t>Total</t>
  </si>
  <si>
    <t>Percentage</t>
  </si>
  <si>
    <t>Result</t>
  </si>
  <si>
    <t>DISTINCTION</t>
  </si>
  <si>
    <t>TINKER</t>
  </si>
  <si>
    <t>E</t>
  </si>
  <si>
    <t>A</t>
  </si>
  <si>
    <t>B</t>
  </si>
  <si>
    <t>C</t>
  </si>
  <si>
    <t>D</t>
  </si>
  <si>
    <t>F</t>
  </si>
  <si>
    <t xml:space="preserve">Topper list </t>
  </si>
  <si>
    <t xml:space="preserve"> </t>
  </si>
  <si>
    <t>Class</t>
  </si>
  <si>
    <t>Virat</t>
  </si>
  <si>
    <t>z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</si>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</sst>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5">
    <xf numFmtId="0" fontId="0" fillId="0" borderId="0" xfId="0"/>
    <xf numFmtId="0" fontId="2" fillId="2" borderId="2" xfId="1" applyFont="1" applyBorder="1"/>
    <xf numFmtId="0" fontId="0" fillId="0" borderId="0" xfId="0" applyBorder="1"/>
    <xf numFmtId="0" fontId="0" fillId="2" borderId="1" xfId="1" applyFont="1" applyBorder="1"/>
    <xf numFmtId="0" fontId="2" fillId="2" borderId="1" xfId="1" applyFont="1" applyBorder="1"/>
  </cellXfs>
  <cellStyles count="2">
    <cellStyle name="Normal" xfId="0" builtinId="0"/>
    <cellStyle name="Note" xfId="1" builtinId="10"/>
  </cellStyles>
  <dxfs count="12"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theme="7" tint="0.79998168889431442"/>
        </patternFill>
      </fill>
    </dxf>
    <dxf>
      <fill>
        <patternFill>
          <bgColor rgb="FFCCFFFF"/>
        </patternFill>
      </fill>
    </dxf>
    <dxf>
      <fill>
        <patternFill>
          <bgColor theme="6" tint="0.39994506668294322"/>
        </patternFill>
      </fill>
    </dxf>
    <dxf>
      <fill>
        <patternFill>
          <bgColor rgb="FFFFFFCC"/>
        </patternFill>
      </fill>
    </dxf>
    <dxf>
      <fill>
        <patternFill>
          <bgColor rgb="FFFFCCCC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66FF99"/>
      <color rgb="FFFFFF00"/>
      <color rgb="FF99FFCC"/>
      <color rgb="FFCCFFFF"/>
      <color rgb="FFFFFFCC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E37"/>
  <sheetViews>
    <sheetView tabSelected="1" workbookViewId="0">
      <selection activeCell="A2" sqref="A2"/>
    </sheetView>
  </sheetViews>
  <sheetFormatPr defaultRowHeight="15" x14ac:dyDescent="0.25"/>
  <cols>
    <col min="1" max="1" width="12" bestFit="1" customWidth="1"/>
  </cols>
  <sheetData>
    <row r="1" spans="1:15" x14ac:dyDescent="0.25">
      <c r="A1" s="3" t="s">
        <v>0</v>
      </c>
      <c r="B1" s="3" t="s">
        <v>1</v>
      </c>
      <c r="C1" s="3" t="s">
        <v>19</v>
      </c>
      <c r="D1" s="3" t="s">
        <v>20</v>
      </c>
      <c r="E1" s="3" t="s">
        <v>21</v>
      </c>
      <c r="F1" s="3" t="s">
        <v>22</v>
      </c>
      <c r="G1" s="4" t="s">
        <v>23</v>
      </c>
      <c r="H1" s="4" t="s">
        <v>28</v>
      </c>
      <c r="I1" s="4" t="s">
        <v>24</v>
      </c>
      <c r="J1" s="4" t="s">
        <v>25</v>
      </c>
      <c r="K1" s="4" t="s">
        <v>26</v>
      </c>
      <c r="L1" s="4" t="s">
        <v>27</v>
      </c>
      <c r="M1" s="4"/>
      <c r="N1" s="1" t="s">
        <v>35</v>
      </c>
      <c r="O1" s="1" t="s">
        <v>37</v>
      </c>
    </row>
    <row r="2" spans="1:15" x14ac:dyDescent="0.25">
      <c r="A2">
        <v>25070521169</v>
      </c>
      <c r="B2" t="s">
        <v>2</v>
      </c>
      <c r="C2">
        <v>100</v>
      </c>
      <c r="D2">
        <v>100</v>
      </c>
      <c r="E2">
        <v>67</v>
      </c>
      <c r="F2">
        <v>84</v>
      </c>
      <c r="G2">
        <v>85</v>
      </c>
      <c r="H2" t="s">
        <v>30</v>
      </c>
      <c r="I2">
        <f t="shared" ref="I2:I19" si="0">SUM(C2:G2)</f>
        <v>436</v>
      </c>
      <c r="J2">
        <f t="shared" ref="J2:J19" si="1">AVERAGE(C2:G2)</f>
        <v>87.2</v>
      </c>
      <c r="K2" t="str">
        <f>IF(AND(C2&gt;=D504&gt;=E504&gt;=F504&gt;=G504&gt;=50,OR(H2="A",H2="B",H2="C")),"PASS","FAIL")</f>
        <v>PASS</v>
      </c>
      <c r="L2" t="str">
        <f>IF(J3&gt;=75,"DISTINCTION","BELOW DISTINCTION")</f>
        <v>DISTINCTION</v>
      </c>
      <c r="N2">
        <v>1</v>
      </c>
      <c r="O2" t="str">
        <f t="shared" ref="O2:O19" si="2">IF(AND(J2&gt;75,J2&lt;100,K2="PASS"),"1ST DIVISION"," ")</f>
        <v>1ST DIVISION</v>
      </c>
    </row>
    <row r="3" spans="1:15" x14ac:dyDescent="0.25">
      <c r="A3">
        <v>25070521171</v>
      </c>
      <c r="B3" t="s">
        <v>4</v>
      </c>
      <c r="C3">
        <v>87</v>
      </c>
      <c r="D3">
        <v>76</v>
      </c>
      <c r="E3">
        <v>87</v>
      </c>
      <c r="F3">
        <v>72</v>
      </c>
      <c r="G3">
        <v>96</v>
      </c>
      <c r="H3" t="s">
        <v>30</v>
      </c>
      <c r="I3">
        <f t="shared" si="0"/>
        <v>418</v>
      </c>
      <c r="J3">
        <f t="shared" si="1"/>
        <v>83.6</v>
      </c>
      <c r="K3" t="str">
        <f>IF(AND(C3&gt;=D505&gt;=E505&gt;=F505&gt;=G505&gt;=50,OR(H3="A",H3="B",H3="C")),"PASS","FAIL")</f>
        <v>PASS</v>
      </c>
      <c r="L3" t="str">
        <f t="shared" ref="L3:L19" si="3">IF(J3&gt;=75,"DISTINCTION","BELOW DISTINCTION")</f>
        <v>DISTINCTION</v>
      </c>
      <c r="N3">
        <v>2</v>
      </c>
      <c r="O3" t="str">
        <f t="shared" si="2"/>
        <v>1ST DIVISION</v>
      </c>
    </row>
    <row r="4" spans="1:15" x14ac:dyDescent="0.25">
      <c r="A4">
        <v>25070521170</v>
      </c>
      <c r="B4" t="s">
        <v>3</v>
      </c>
      <c r="C4">
        <v>77</v>
      </c>
      <c r="D4">
        <v>65</v>
      </c>
      <c r="E4">
        <v>100</v>
      </c>
      <c r="F4">
        <v>100</v>
      </c>
      <c r="G4">
        <v>58</v>
      </c>
      <c r="H4" t="s">
        <v>31</v>
      </c>
      <c r="I4">
        <f t="shared" si="0"/>
        <v>400</v>
      </c>
      <c r="J4">
        <f t="shared" si="1"/>
        <v>80</v>
      </c>
      <c r="K4" t="str">
        <f>IF(AND(C4&gt;=D506&gt;=E506&gt;=F506&gt;=G506&gt;=50,OR(H4="A",H4="B",H4="C")),"PASS","FAIL")</f>
        <v>PASS</v>
      </c>
      <c r="L4" t="str">
        <f t="shared" si="3"/>
        <v>DISTINCTION</v>
      </c>
      <c r="N4">
        <v>3</v>
      </c>
      <c r="O4" t="str">
        <f t="shared" si="2"/>
        <v>1ST DIVISION</v>
      </c>
    </row>
    <row r="5" spans="1:15" x14ac:dyDescent="0.25">
      <c r="A5">
        <v>25070521175</v>
      </c>
      <c r="B5" t="s">
        <v>8</v>
      </c>
      <c r="C5">
        <v>65</v>
      </c>
      <c r="D5">
        <v>87</v>
      </c>
      <c r="E5">
        <v>99</v>
      </c>
      <c r="F5">
        <v>64</v>
      </c>
      <c r="G5">
        <v>75</v>
      </c>
      <c r="H5" t="s">
        <v>29</v>
      </c>
      <c r="I5">
        <f t="shared" si="0"/>
        <v>390</v>
      </c>
      <c r="J5">
        <f t="shared" si="1"/>
        <v>78</v>
      </c>
      <c r="K5" t="str">
        <f>IF(AND(C5&gt;=D507&gt;=E507&gt;=F507&gt;=G507&gt;=50,OR(H5="A",H5="B",H5="C")),"PASS","FAIL")</f>
        <v>FAIL</v>
      </c>
      <c r="L5" t="str">
        <f t="shared" si="3"/>
        <v>DISTINCTION</v>
      </c>
      <c r="N5">
        <v>4</v>
      </c>
      <c r="O5" t="str">
        <f t="shared" si="2"/>
        <v xml:space="preserve"> </v>
      </c>
    </row>
    <row r="6" spans="1:15" x14ac:dyDescent="0.25">
      <c r="A6">
        <v>25070521180</v>
      </c>
      <c r="B6" t="s">
        <v>38</v>
      </c>
      <c r="C6">
        <v>100</v>
      </c>
      <c r="D6">
        <v>65</v>
      </c>
      <c r="E6">
        <v>77</v>
      </c>
      <c r="F6">
        <v>65</v>
      </c>
      <c r="G6">
        <v>77</v>
      </c>
      <c r="H6" t="s">
        <v>32</v>
      </c>
      <c r="I6">
        <f t="shared" si="0"/>
        <v>384</v>
      </c>
      <c r="J6">
        <f t="shared" si="1"/>
        <v>76.8</v>
      </c>
      <c r="K6" t="str">
        <f>IF(AND(C6&gt;=D508&gt;=E508&gt;=F508&gt;=G508&gt;=50,OR(H6="A",H6="B",H6="C")),"PASS","FAIL")</f>
        <v>PASS</v>
      </c>
      <c r="L6" t="str">
        <f t="shared" si="3"/>
        <v>DISTINCTION</v>
      </c>
      <c r="N6">
        <v>18</v>
      </c>
      <c r="O6" t="str">
        <f t="shared" si="2"/>
        <v>1ST DIVISION</v>
      </c>
    </row>
    <row r="7" spans="1:15" x14ac:dyDescent="0.25">
      <c r="A7">
        <v>25070521185</v>
      </c>
      <c r="B7" t="s">
        <v>13</v>
      </c>
      <c r="C7">
        <v>82</v>
      </c>
      <c r="D7">
        <v>87</v>
      </c>
      <c r="E7">
        <v>52</v>
      </c>
      <c r="F7">
        <v>74</v>
      </c>
      <c r="G7">
        <v>83</v>
      </c>
      <c r="H7" t="s">
        <v>29</v>
      </c>
      <c r="I7">
        <f t="shared" si="0"/>
        <v>378</v>
      </c>
      <c r="J7">
        <f t="shared" si="1"/>
        <v>75.599999999999994</v>
      </c>
      <c r="K7" t="str">
        <f>IF(AND(C7&gt;=D509&gt;=E509&gt;=F509&gt;=G509&gt;=50,OR(H7="A",H7="B",H7="C")),"PASS","FAIL")</f>
        <v>FAIL</v>
      </c>
      <c r="L7" t="str">
        <f t="shared" si="3"/>
        <v>DISTINCTION</v>
      </c>
      <c r="N7">
        <v>5</v>
      </c>
      <c r="O7" t="str">
        <f t="shared" si="2"/>
        <v xml:space="preserve"> </v>
      </c>
    </row>
    <row r="8" spans="1:15" x14ac:dyDescent="0.25">
      <c r="A8">
        <v>25070521172</v>
      </c>
      <c r="B8" t="s">
        <v>18</v>
      </c>
      <c r="C8">
        <v>84</v>
      </c>
      <c r="D8">
        <v>43</v>
      </c>
      <c r="E8">
        <v>75</v>
      </c>
      <c r="F8">
        <v>86</v>
      </c>
      <c r="G8">
        <v>85</v>
      </c>
      <c r="H8" t="s">
        <v>34</v>
      </c>
      <c r="I8">
        <f t="shared" si="0"/>
        <v>373</v>
      </c>
      <c r="J8">
        <f t="shared" si="1"/>
        <v>74.599999999999994</v>
      </c>
      <c r="K8" t="str">
        <f>IF(AND(C8&gt;=D510&gt;=E510&gt;=F510&gt;=G510&gt;=50,OR(H8="A",H8="B",H8="C")),"PASS","FAIL")</f>
        <v>FAIL</v>
      </c>
      <c r="L8" t="str">
        <f t="shared" si="3"/>
        <v>BELOW DISTINCTION</v>
      </c>
      <c r="N8">
        <v>6</v>
      </c>
      <c r="O8" t="str">
        <f t="shared" si="2"/>
        <v xml:space="preserve"> </v>
      </c>
    </row>
    <row r="9" spans="1:15" x14ac:dyDescent="0.25">
      <c r="A9">
        <v>25070521178</v>
      </c>
      <c r="B9" t="s">
        <v>5</v>
      </c>
      <c r="C9">
        <v>77</v>
      </c>
      <c r="D9">
        <v>65</v>
      </c>
      <c r="E9">
        <v>76</v>
      </c>
      <c r="F9">
        <v>72</v>
      </c>
      <c r="G9">
        <v>57</v>
      </c>
      <c r="H9" t="s">
        <v>29</v>
      </c>
      <c r="I9">
        <f t="shared" si="0"/>
        <v>347</v>
      </c>
      <c r="J9">
        <f t="shared" si="1"/>
        <v>69.400000000000006</v>
      </c>
      <c r="K9" t="str">
        <f>IF(AND(C9&gt;=D511&gt;=E511&gt;=F511&gt;=G511&gt;=50,OR(H9="A",H9="B",H9="C")),"PASS","FAIL")</f>
        <v>FAIL</v>
      </c>
      <c r="L9" t="str">
        <f t="shared" si="3"/>
        <v>BELOW DISTINCTION</v>
      </c>
      <c r="N9">
        <v>7</v>
      </c>
      <c r="O9" t="str">
        <f t="shared" si="2"/>
        <v xml:space="preserve"> </v>
      </c>
    </row>
    <row r="10" spans="1:15" x14ac:dyDescent="0.25">
      <c r="A10">
        <v>25070521182</v>
      </c>
      <c r="B10" t="s">
        <v>11</v>
      </c>
      <c r="C10">
        <v>76</v>
      </c>
      <c r="D10">
        <v>78</v>
      </c>
      <c r="E10">
        <v>54</v>
      </c>
      <c r="F10">
        <v>53</v>
      </c>
      <c r="G10">
        <v>74</v>
      </c>
      <c r="H10" t="s">
        <v>31</v>
      </c>
      <c r="I10">
        <f t="shared" si="0"/>
        <v>335</v>
      </c>
      <c r="J10">
        <f t="shared" si="1"/>
        <v>67</v>
      </c>
      <c r="K10" t="str">
        <f>IF(AND(C10&gt;=D512&gt;=E512&gt;=F512&gt;=G512&gt;=50,OR(H10="A",H10="B",H10="C")),"PASS","FAIL")</f>
        <v>PASS</v>
      </c>
      <c r="L10" t="str">
        <f t="shared" si="3"/>
        <v>BELOW DISTINCTION</v>
      </c>
      <c r="N10">
        <v>8</v>
      </c>
      <c r="O10" t="str">
        <f t="shared" si="2"/>
        <v xml:space="preserve"> </v>
      </c>
    </row>
    <row r="11" spans="1:15" x14ac:dyDescent="0.25">
      <c r="A11">
        <v>25070521183</v>
      </c>
      <c r="B11" t="s">
        <v>15</v>
      </c>
      <c r="C11">
        <v>84</v>
      </c>
      <c r="D11">
        <v>76</v>
      </c>
      <c r="E11">
        <v>43</v>
      </c>
      <c r="F11">
        <v>74</v>
      </c>
      <c r="G11">
        <v>56</v>
      </c>
      <c r="H11" t="s">
        <v>32</v>
      </c>
      <c r="I11">
        <f t="shared" si="0"/>
        <v>333</v>
      </c>
      <c r="J11">
        <f t="shared" si="1"/>
        <v>66.599999999999994</v>
      </c>
      <c r="K11" t="str">
        <f>IF(AND(C11&gt;=D513&gt;=E513&gt;=F513&gt;=G513&gt;=50,OR(H11="A",H11="B",H11="C")),"PASS","FAIL")</f>
        <v>PASS</v>
      </c>
      <c r="L11" t="str">
        <f t="shared" si="3"/>
        <v>BELOW DISTINCTION</v>
      </c>
      <c r="N11">
        <v>9</v>
      </c>
      <c r="O11" t="str">
        <f t="shared" si="2"/>
        <v xml:space="preserve"> </v>
      </c>
    </row>
    <row r="12" spans="1:15" x14ac:dyDescent="0.25">
      <c r="A12">
        <v>25070521184</v>
      </c>
      <c r="B12" t="s">
        <v>16</v>
      </c>
      <c r="C12">
        <v>74</v>
      </c>
      <c r="D12">
        <v>54</v>
      </c>
      <c r="E12">
        <v>52</v>
      </c>
      <c r="F12">
        <v>77</v>
      </c>
      <c r="G12">
        <v>75</v>
      </c>
      <c r="H12" t="s">
        <v>31</v>
      </c>
      <c r="I12">
        <f t="shared" si="0"/>
        <v>332</v>
      </c>
      <c r="J12">
        <f t="shared" si="1"/>
        <v>66.400000000000006</v>
      </c>
      <c r="K12" t="str">
        <f>IF(AND(C12&gt;=D514&gt;=E514&gt;=F514&gt;=G514&gt;=50,OR(H12="A",H12="B",H12="C")),"PASS","FAIL")</f>
        <v>PASS</v>
      </c>
      <c r="L12" t="str">
        <f t="shared" si="3"/>
        <v>BELOW DISTINCTION</v>
      </c>
      <c r="N12">
        <v>10</v>
      </c>
      <c r="O12" t="str">
        <f t="shared" si="2"/>
        <v xml:space="preserve"> </v>
      </c>
    </row>
    <row r="13" spans="1:15" x14ac:dyDescent="0.25">
      <c r="A13">
        <v>25070521173</v>
      </c>
      <c r="B13" t="s">
        <v>17</v>
      </c>
      <c r="C13">
        <v>37</v>
      </c>
      <c r="D13">
        <v>76</v>
      </c>
      <c r="E13">
        <v>63</v>
      </c>
      <c r="F13">
        <v>64</v>
      </c>
      <c r="G13">
        <v>85</v>
      </c>
      <c r="H13" t="s">
        <v>29</v>
      </c>
      <c r="I13">
        <f t="shared" si="0"/>
        <v>325</v>
      </c>
      <c r="J13">
        <f t="shared" si="1"/>
        <v>65</v>
      </c>
      <c r="K13" t="str">
        <f>IF(AND(C13&gt;=D515&gt;=E515&gt;=F515&gt;=G515&gt;=50,OR(H13="A",H13="B",H13="C")),"PASS","FAIL")</f>
        <v>FAIL</v>
      </c>
      <c r="L13" t="str">
        <f t="shared" si="3"/>
        <v>BELOW DISTINCTION</v>
      </c>
      <c r="N13">
        <v>11</v>
      </c>
      <c r="O13" t="str">
        <f t="shared" si="2"/>
        <v xml:space="preserve"> </v>
      </c>
    </row>
    <row r="14" spans="1:15" x14ac:dyDescent="0.25">
      <c r="A14">
        <v>25070521176</v>
      </c>
      <c r="B14" t="s">
        <v>6</v>
      </c>
      <c r="C14">
        <v>87</v>
      </c>
      <c r="D14">
        <v>54</v>
      </c>
      <c r="E14">
        <v>54</v>
      </c>
      <c r="F14">
        <v>32</v>
      </c>
      <c r="G14">
        <v>96</v>
      </c>
      <c r="H14" t="s">
        <v>31</v>
      </c>
      <c r="I14">
        <f t="shared" si="0"/>
        <v>323</v>
      </c>
      <c r="J14">
        <f t="shared" si="1"/>
        <v>64.599999999999994</v>
      </c>
      <c r="K14" t="str">
        <f>IF(AND(C14&gt;=D516&gt;=E516&gt;=F516&gt;=G516&gt;=50,OR(H14="A",H14="B",H14="C")),"PASS","FAIL")</f>
        <v>PASS</v>
      </c>
      <c r="L14" t="str">
        <f t="shared" si="3"/>
        <v>BELOW DISTINCTION</v>
      </c>
      <c r="N14">
        <v>12</v>
      </c>
      <c r="O14" t="str">
        <f t="shared" si="2"/>
        <v xml:space="preserve"> </v>
      </c>
    </row>
    <row r="15" spans="1:15" x14ac:dyDescent="0.25">
      <c r="A15">
        <v>25070521174</v>
      </c>
      <c r="B15" t="s">
        <v>9</v>
      </c>
      <c r="C15">
        <v>76</v>
      </c>
      <c r="D15">
        <v>43</v>
      </c>
      <c r="E15">
        <v>54</v>
      </c>
      <c r="F15">
        <v>53</v>
      </c>
      <c r="G15">
        <v>85</v>
      </c>
      <c r="H15" t="s">
        <v>30</v>
      </c>
      <c r="I15">
        <f t="shared" si="0"/>
        <v>311</v>
      </c>
      <c r="J15">
        <f t="shared" si="1"/>
        <v>62.2</v>
      </c>
      <c r="K15" t="str">
        <f>IF(AND(C15&gt;=D517&gt;=E517&gt;=F517&gt;=G517&gt;=50,OR(H15="A",H15="B",H15="C")),"PASS","FAIL")</f>
        <v>PASS</v>
      </c>
      <c r="L15" t="str">
        <f t="shared" si="3"/>
        <v>BELOW DISTINCTION</v>
      </c>
      <c r="N15">
        <v>13</v>
      </c>
      <c r="O15" t="str">
        <f t="shared" si="2"/>
        <v xml:space="preserve"> </v>
      </c>
    </row>
    <row r="16" spans="1:15" x14ac:dyDescent="0.25">
      <c r="A16">
        <v>25070521179</v>
      </c>
      <c r="B16" t="s">
        <v>7</v>
      </c>
      <c r="C16">
        <v>54</v>
      </c>
      <c r="D16">
        <v>66</v>
      </c>
      <c r="E16">
        <v>76</v>
      </c>
      <c r="F16">
        <v>45</v>
      </c>
      <c r="G16">
        <v>53</v>
      </c>
      <c r="H16" t="s">
        <v>30</v>
      </c>
      <c r="I16">
        <f t="shared" si="0"/>
        <v>294</v>
      </c>
      <c r="J16">
        <f t="shared" si="1"/>
        <v>58.8</v>
      </c>
      <c r="K16" t="str">
        <f>IF(AND(C16&gt;=D518&gt;=E518&gt;=F518&gt;=G518&gt;=50,OR(H16="A",H16="B",H16="C")),"PASS","FAIL")</f>
        <v>PASS</v>
      </c>
      <c r="L16" t="str">
        <f t="shared" si="3"/>
        <v>BELOW DISTINCTION</v>
      </c>
      <c r="N16">
        <v>14</v>
      </c>
      <c r="O16" t="str">
        <f t="shared" si="2"/>
        <v xml:space="preserve"> </v>
      </c>
    </row>
    <row r="17" spans="1:15" x14ac:dyDescent="0.25">
      <c r="A17">
        <v>25070521177</v>
      </c>
      <c r="B17" t="s">
        <v>12</v>
      </c>
      <c r="C17">
        <v>46</v>
      </c>
      <c r="D17">
        <v>34</v>
      </c>
      <c r="E17">
        <v>82</v>
      </c>
      <c r="F17">
        <v>62</v>
      </c>
      <c r="G17">
        <v>65</v>
      </c>
      <c r="H17" t="s">
        <v>30</v>
      </c>
      <c r="I17">
        <f t="shared" si="0"/>
        <v>289</v>
      </c>
      <c r="J17">
        <f t="shared" si="1"/>
        <v>57.8</v>
      </c>
      <c r="K17" t="str">
        <f>IF(AND(C17&gt;=D519&gt;=E519&gt;=F519&gt;=G519&gt;=50,OR(H17="A",H17="B",H17="C")),"PASS","FAIL")</f>
        <v>PASS</v>
      </c>
      <c r="L17" t="str">
        <f t="shared" si="3"/>
        <v>BELOW DISTINCTION</v>
      </c>
      <c r="N17">
        <v>15</v>
      </c>
      <c r="O17" t="str">
        <f t="shared" si="2"/>
        <v xml:space="preserve"> </v>
      </c>
    </row>
    <row r="18" spans="1:15" x14ac:dyDescent="0.25">
      <c r="A18">
        <v>25070521181</v>
      </c>
      <c r="B18" t="s">
        <v>10</v>
      </c>
      <c r="C18">
        <v>56</v>
      </c>
      <c r="D18">
        <v>56</v>
      </c>
      <c r="E18">
        <v>56</v>
      </c>
      <c r="F18">
        <v>75</v>
      </c>
      <c r="G18">
        <v>35</v>
      </c>
      <c r="H18" t="s">
        <v>29</v>
      </c>
      <c r="I18">
        <f t="shared" si="0"/>
        <v>278</v>
      </c>
      <c r="J18">
        <f t="shared" si="1"/>
        <v>55.6</v>
      </c>
      <c r="K18" t="str">
        <f>IF(AND(C18&gt;=D520&gt;=E520&gt;=F520&gt;=G520&gt;=50,OR(H18="A",H18="B",H18="C")),"PASS","FAIL")</f>
        <v>FAIL</v>
      </c>
      <c r="L18" t="str">
        <f t="shared" si="3"/>
        <v>BELOW DISTINCTION</v>
      </c>
      <c r="N18">
        <v>16</v>
      </c>
      <c r="O18" t="str">
        <f t="shared" si="2"/>
        <v xml:space="preserve"> </v>
      </c>
    </row>
    <row r="19" spans="1:15" x14ac:dyDescent="0.25">
      <c r="A19">
        <v>25070521182</v>
      </c>
      <c r="B19" t="s">
        <v>14</v>
      </c>
      <c r="C19">
        <v>4</v>
      </c>
      <c r="D19">
        <v>23</v>
      </c>
      <c r="E19">
        <v>52</v>
      </c>
      <c r="F19">
        <v>75</v>
      </c>
      <c r="G19">
        <v>63</v>
      </c>
      <c r="H19" t="s">
        <v>33</v>
      </c>
      <c r="I19">
        <f t="shared" si="0"/>
        <v>217</v>
      </c>
      <c r="J19">
        <f t="shared" si="1"/>
        <v>43.4</v>
      </c>
      <c r="K19" t="str">
        <f>IF(AND(C19&gt;=D521&gt;=E521&gt;=F521&gt;=G521&gt;=50,OR(H19="A",H19="B",H19="C")),"PASS","FAIL")</f>
        <v>FAIL</v>
      </c>
      <c r="L19" t="str">
        <f t="shared" si="3"/>
        <v>BELOW DISTINCTION</v>
      </c>
      <c r="N19">
        <v>17</v>
      </c>
      <c r="O19" t="str">
        <f t="shared" si="2"/>
        <v xml:space="preserve"> </v>
      </c>
    </row>
    <row r="20" spans="1:15" x14ac:dyDescent="0.25">
      <c r="L20">
        <f>COUNTIF(L2:L19, "DISTINCTION")</f>
        <v>6</v>
      </c>
    </row>
    <row r="22" spans="1:15" x14ac:dyDescent="0.25">
      <c r="A22" s="2"/>
      <c r="B22" s="2"/>
      <c r="C22" s="2"/>
      <c r="D22" s="2"/>
      <c r="E22" s="2"/>
      <c r="F22" s="2"/>
      <c r="G22" s="2"/>
      <c r="H22" s="2"/>
      <c r="I22" s="2" t="s">
        <v>36</v>
      </c>
      <c r="J22" s="2"/>
      <c r="K22" s="2"/>
      <c r="L22" s="2"/>
      <c r="M22" s="2"/>
      <c r="N22" s="2"/>
      <c r="O22" s="2"/>
    </row>
    <row r="37" spans="733:733" x14ac:dyDescent="0.25">
      <c r="ABE37" t="s">
        <v>39</v>
      </c>
    </row>
  </sheetData>
  <sortState ref="B2:P19">
    <sortCondition descending="1" ref="J4:J21"/>
  </sortState>
  <conditionalFormatting sqref="K2:K19">
    <cfRule type="cellIs" dxfId="11" priority="10" operator="equal">
      <formula>"FAIL"</formula>
    </cfRule>
    <cfRule type="cellIs" dxfId="10" priority="11" operator="equal">
      <formula>"FAIL"</formula>
    </cfRule>
    <cfRule type="cellIs" dxfId="9" priority="12" operator="equal">
      <formula>"PASS"</formula>
    </cfRule>
  </conditionalFormatting>
  <conditionalFormatting sqref="I2:I19">
    <cfRule type="cellIs" dxfId="8" priority="9" operator="lessThan">
      <formula>300</formula>
    </cfRule>
  </conditionalFormatting>
  <conditionalFormatting sqref="H2:H18">
    <cfRule type="cellIs" dxfId="7" priority="8" operator="equal">
      <formula>"A"</formula>
    </cfRule>
  </conditionalFormatting>
  <conditionalFormatting sqref="H4:H21">
    <cfRule type="cellIs" dxfId="6" priority="7" operator="equal">
      <formula>"B"</formula>
    </cfRule>
  </conditionalFormatting>
  <conditionalFormatting sqref="H5:H19">
    <cfRule type="cellIs" dxfId="5" priority="6" operator="equal">
      <formula>"E"</formula>
    </cfRule>
  </conditionalFormatting>
  <conditionalFormatting sqref="H7:H19">
    <cfRule type="cellIs" dxfId="4" priority="5" operator="equal">
      <formula>"F"</formula>
    </cfRule>
  </conditionalFormatting>
  <conditionalFormatting sqref="H10:H18">
    <cfRule type="cellIs" dxfId="3" priority="4" operator="equal">
      <formula>"C"</formula>
    </cfRule>
  </conditionalFormatting>
  <conditionalFormatting sqref="H18:H19">
    <cfRule type="cellIs" dxfId="2" priority="3" operator="equal">
      <formula>"D"</formula>
    </cfRule>
  </conditionalFormatting>
  <conditionalFormatting sqref="C2:G19">
    <cfRule type="cellIs" dxfId="1" priority="1" operator="lessThan">
      <formula>70</formula>
    </cfRule>
    <cfRule type="cellIs" dxfId="0" priority="2" operator="lessThan">
      <formula>70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>
      <selection activeCell="K21" sqref="K21"/>
    </sheetView>
  </sheetViews>
  <sheetFormatPr defaultRowHeight="15" x14ac:dyDescent="0.25"/>
  <cols>
    <col min="1" max="1" width="12" bestFit="1" customWidth="1"/>
  </cols>
  <sheetData>
    <row r="1" spans="1:4" x14ac:dyDescent="0.25">
      <c r="A1" s="3" t="s">
        <v>0</v>
      </c>
      <c r="B1" t="s">
        <v>1</v>
      </c>
      <c r="C1" t="s">
        <v>40</v>
      </c>
      <c r="D1" t="s">
        <v>26</v>
      </c>
    </row>
    <row r="2" spans="1:4" x14ac:dyDescent="0.25">
      <c r="A2">
        <v>25070521169</v>
      </c>
      <c r="B2" t="str">
        <f>VLOOKUP(A2,Sheet1!A2:N21,2,0)</f>
        <v>Adwait</v>
      </c>
      <c r="C2">
        <f>VLOOKUP(A2,Sheet1!A2:N21,9,0)</f>
        <v>436</v>
      </c>
      <c r="D2" t="str">
        <f>VLOOKUP(A2,Sheet1!A2:N21,11,0)</f>
        <v>PASS</v>
      </c>
    </row>
    <row r="3" spans="1:4" x14ac:dyDescent="0.25">
      <c r="A3">
        <v>25070521171</v>
      </c>
      <c r="B3" t="str">
        <f>VLOOKUP(A3,Sheet1!A3:N22,2,0)</f>
        <v>Shreyash</v>
      </c>
      <c r="C3">
        <f>VLOOKUP(A3,Sheet1!A3:N22,9,0)</f>
        <v>418</v>
      </c>
      <c r="D3" t="str">
        <f>VLOOKUP(A3,Sheet1!A3:N22,11,0)</f>
        <v>PASS</v>
      </c>
    </row>
    <row r="4" spans="1:4" x14ac:dyDescent="0.25">
      <c r="A4">
        <v>25070521170</v>
      </c>
      <c r="B4" t="str">
        <f>VLOOKUP(A4,Sheet1!A4:N23,2,0)</f>
        <v>Om</v>
      </c>
      <c r="C4">
        <f>VLOOKUP(A4,Sheet1!A4:N23,9,0)</f>
        <v>400</v>
      </c>
      <c r="D4" t="str">
        <f>VLOOKUP(A4,Sheet1!A4:N23,11,0)</f>
        <v>PASS</v>
      </c>
    </row>
    <row r="5" spans="1:4" x14ac:dyDescent="0.25">
      <c r="A5">
        <v>25070521175</v>
      </c>
      <c r="B5" t="str">
        <f>VLOOKUP(A5,Sheet1!A5:N24,2,0)</f>
        <v>Aaditya</v>
      </c>
      <c r="C5">
        <f>VLOOKUP(A5,Sheet1!A5:N24,9,0)</f>
        <v>390</v>
      </c>
      <c r="D5" t="str">
        <f>VLOOKUP(A5,Sheet1!A5:N24,11,0)</f>
        <v>FAIL</v>
      </c>
    </row>
    <row r="6" spans="1:4" x14ac:dyDescent="0.25">
      <c r="A6">
        <v>25070521180</v>
      </c>
      <c r="B6" t="str">
        <f>VLOOKUP(A6,Sheet1!A6:N25,2,0)</f>
        <v>Virat</v>
      </c>
      <c r="C6">
        <f>VLOOKUP(A6,Sheet1!A6:N25,9,0)</f>
        <v>384</v>
      </c>
      <c r="D6" t="str">
        <f>VLOOKUP(A6,Sheet1!A6:N25,11,0)</f>
        <v>PASS</v>
      </c>
    </row>
    <row r="7" spans="1:4" x14ac:dyDescent="0.25">
      <c r="A7">
        <v>25070521185</v>
      </c>
      <c r="B7" t="str">
        <f>VLOOKUP(A7,Sheet1!A7:N26,2,0)</f>
        <v>Karan</v>
      </c>
      <c r="C7">
        <f>VLOOKUP(A7,Sheet1!A7:N26,9,0)</f>
        <v>378</v>
      </c>
      <c r="D7" t="str">
        <f>VLOOKUP(A7,Sheet1!A7:N26,11,0)</f>
        <v>FAIL</v>
      </c>
    </row>
    <row r="8" spans="1:4" x14ac:dyDescent="0.25">
      <c r="A8">
        <v>25070521172</v>
      </c>
      <c r="B8" t="str">
        <f>VLOOKUP(A8,Sheet1!A8:N27,2,0)</f>
        <v>Mangaya</v>
      </c>
      <c r="C8">
        <f>VLOOKUP(A8,Sheet1!A8:N27,9,0)</f>
        <v>373</v>
      </c>
      <c r="D8" t="str">
        <f>VLOOKUP(A8,Sheet1!A8:N27,11,0)</f>
        <v>FAIL</v>
      </c>
    </row>
    <row r="9" spans="1:4" x14ac:dyDescent="0.25">
      <c r="A9">
        <v>25070521178</v>
      </c>
      <c r="B9" t="str">
        <f>VLOOKUP(A9,Sheet1!A9:N28,2,0)</f>
        <v>Kanhaiya</v>
      </c>
      <c r="C9">
        <f>VLOOKUP(A9,Sheet1!A9:N28,9,0)</f>
        <v>347</v>
      </c>
      <c r="D9" t="str">
        <f>VLOOKUP(A9,Sheet1!A9:N28,11,0)</f>
        <v>FAIL</v>
      </c>
    </row>
    <row r="10" spans="1:4" x14ac:dyDescent="0.25">
      <c r="A10">
        <v>25070521182</v>
      </c>
      <c r="B10" t="str">
        <f>VLOOKUP(A10,Sheet1!A10:N29,2,0)</f>
        <v>Arpan</v>
      </c>
      <c r="C10">
        <f>VLOOKUP(A10,Sheet1!A10:N29,9,0)</f>
        <v>335</v>
      </c>
      <c r="D10" t="str">
        <f>VLOOKUP(A10,Sheet1!A10:N29,11,0)</f>
        <v>PASS</v>
      </c>
    </row>
    <row r="11" spans="1:4" x14ac:dyDescent="0.25">
      <c r="A11">
        <v>25070521183</v>
      </c>
      <c r="B11" t="str">
        <f>VLOOKUP(A11,Sheet1!A11:N30,2,0)</f>
        <v>Raj</v>
      </c>
      <c r="C11">
        <f>VLOOKUP(A11,Sheet1!A11:N30,9,0)</f>
        <v>333</v>
      </c>
      <c r="D11" t="str">
        <f>VLOOKUP(A11,Sheet1!A11:N30,11,0)</f>
        <v>PASS</v>
      </c>
    </row>
    <row r="12" spans="1:4" x14ac:dyDescent="0.25">
      <c r="A12">
        <v>25070521184</v>
      </c>
      <c r="B12" t="str">
        <f>VLOOKUP(A12,Sheet1!A12:N31,2,0)</f>
        <v>Yash</v>
      </c>
      <c r="C12">
        <f>VLOOKUP(A12,Sheet1!A12:N31,9,0)</f>
        <v>332</v>
      </c>
      <c r="D12" t="str">
        <f>VLOOKUP(A12,Sheet1!A12:N31,11,0)</f>
        <v>PASS</v>
      </c>
    </row>
    <row r="13" spans="1:4" x14ac:dyDescent="0.25">
      <c r="A13">
        <v>25070521173</v>
      </c>
      <c r="B13" t="str">
        <f>VLOOKUP(A13,Sheet1!A13:N32,2,0)</f>
        <v>Salman</v>
      </c>
      <c r="C13">
        <f>VLOOKUP(A13,Sheet1!A13:N32,9,0)</f>
        <v>325</v>
      </c>
      <c r="D13" t="str">
        <f>VLOOKUP(A13,Sheet1!A13:N32,11,0)</f>
        <v>FAIL</v>
      </c>
    </row>
    <row r="14" spans="1:4" x14ac:dyDescent="0.25">
      <c r="A14">
        <v>25070521176</v>
      </c>
      <c r="B14" t="str">
        <f>VLOOKUP(A14,Sheet1!A14:N33,2,0)</f>
        <v>Pranjal</v>
      </c>
      <c r="C14">
        <f>VLOOKUP(A14,Sheet1!A14:N33,9,0)</f>
        <v>323</v>
      </c>
      <c r="D14" t="str">
        <f>VLOOKUP(A14,Sheet1!A14:N33,11,0)</f>
        <v>PASS</v>
      </c>
    </row>
    <row r="15" spans="1:4" x14ac:dyDescent="0.25">
      <c r="A15">
        <v>25070521174</v>
      </c>
      <c r="B15" t="str">
        <f>VLOOKUP(A15,Sheet1!A15:N34,2,0)</f>
        <v>Jumbo</v>
      </c>
      <c r="C15">
        <f>VLOOKUP(A15,Sheet1!A15:N34,9,0)</f>
        <v>311</v>
      </c>
      <c r="D15" t="str">
        <f>VLOOKUP(A15,Sheet1!A15:N34,11,0)</f>
        <v>PASS</v>
      </c>
    </row>
    <row r="16" spans="1:4" x14ac:dyDescent="0.25">
      <c r="A16">
        <v>25070521179</v>
      </c>
      <c r="B16" t="str">
        <f>VLOOKUP(A16,Sheet1!A16:N35,2,0)</f>
        <v>Harshad</v>
      </c>
      <c r="C16">
        <f>VLOOKUP(A16,Sheet1!A16:N35,9,0)</f>
        <v>294</v>
      </c>
      <c r="D16" t="str">
        <f>VLOOKUP(A16,Sheet1!A16:N35,11,0)</f>
        <v>PASS</v>
      </c>
    </row>
    <row r="17" spans="1:4" x14ac:dyDescent="0.25">
      <c r="A17">
        <v>25070521177</v>
      </c>
      <c r="B17" t="str">
        <f>VLOOKUP(A17,Sheet1!A17:N36,2,0)</f>
        <v>Aryan</v>
      </c>
      <c r="C17">
        <f>VLOOKUP(A17,Sheet1!A17:N36,9,0)</f>
        <v>289</v>
      </c>
      <c r="D17" t="str">
        <f>VLOOKUP(A17,Sheet1!A17:N36,11,0)</f>
        <v>PASS</v>
      </c>
    </row>
    <row r="18" spans="1:4" x14ac:dyDescent="0.25">
      <c r="A18">
        <v>25070521181</v>
      </c>
      <c r="B18" t="str">
        <f>VLOOKUP(A18,Sheet1!A18:N37,2,0)</f>
        <v>Shivam</v>
      </c>
      <c r="C18">
        <f>VLOOKUP(A18,Sheet1!A18:N37,9,0)</f>
        <v>278</v>
      </c>
      <c r="D18" t="str">
        <f>VLOOKUP(A18,Sheet1!A18:N37,11,0)</f>
        <v>FAIL</v>
      </c>
    </row>
    <row r="19" spans="1:4" x14ac:dyDescent="0.25">
      <c r="A19">
        <v>25070521182</v>
      </c>
      <c r="B19" t="str">
        <f>VLOOKUP(A19,Sheet1!A19:N38,2,0)</f>
        <v>Rahul</v>
      </c>
      <c r="C19">
        <f>VLOOKUP(A19,Sheet1!A19:N38,9,0)</f>
        <v>217</v>
      </c>
      <c r="D19" t="str">
        <f>VLOOKUP(A19,Sheet1!A19:N38,11,0)</f>
        <v>FAIL</v>
      </c>
    </row>
    <row r="22" spans="1:4" x14ac:dyDescent="0.25">
      <c r="A2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2025-10-06T06:25:37Z</dcterms:created>
  <dcterms:modified xsi:type="dcterms:W3CDTF">2025-10-29T10:38:33Z</dcterms:modified>
</cp:coreProperties>
</file>